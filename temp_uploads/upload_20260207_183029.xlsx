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xr:revisionPtr revIDLastSave="0" documentId="8_{10752851-228A-43E9-88BF-6EC8941CB2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nálise Módulos FV" sheetId="1" r:id="rId1"/>
    <sheet name="Instruçõ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  <c r="S4" i="1"/>
  <c r="Z3" i="1"/>
  <c r="S3" i="1"/>
</calcChain>
</file>

<file path=xl/sharedStrings.xml><?xml version="1.0" encoding="utf-8"?>
<sst xmlns="http://schemas.openxmlformats.org/spreadsheetml/2006/main" count="136" uniqueCount="117">
  <si>
    <t>Informações Gerais</t>
  </si>
  <si>
    <t>Inspeção Visual</t>
  </si>
  <si>
    <t>Resistência de Isolamento</t>
  </si>
  <si>
    <t>Teste Curva IV</t>
  </si>
  <si>
    <t>Eletroluminescência</t>
  </si>
  <si>
    <t>ID do Módulo</t>
  </si>
  <si>
    <t>NS do Módulo</t>
  </si>
  <si>
    <t>Fabricante</t>
  </si>
  <si>
    <t>Modelo</t>
  </si>
  <si>
    <t>Potência do datasheet (W)</t>
  </si>
  <si>
    <t>Voc Original (V)</t>
  </si>
  <si>
    <t>Isc Original (A)</t>
  </si>
  <si>
    <t>Ano</t>
  </si>
  <si>
    <t>Bifacial/Monofacial</t>
  </si>
  <si>
    <t>Vidro Quebrado/Rachado?</t>
  </si>
  <si>
    <t>Backsheet Danificado?</t>
  </si>
  <si>
    <t>Junction Box Danificado?</t>
  </si>
  <si>
    <t>Cabos/Conectores Danificados?</t>
  </si>
  <si>
    <t>Defeito Reparável?</t>
  </si>
  <si>
    <t>Altura (m)</t>
  </si>
  <si>
    <t>Largura (m)</t>
  </si>
  <si>
    <t>Resistência Medida 1 min (MΩ)</t>
  </si>
  <si>
    <t>Resistência Medida 2 min (MΩ)</t>
  </si>
  <si>
    <t>Resistência Ôhmica Fabricante (MΩ·m²)</t>
  </si>
  <si>
    <t>Idade do Módulo Conhecida?</t>
  </si>
  <si>
    <t>Voc Medido (V)</t>
  </si>
  <si>
    <t>Isc Medido (A)</t>
  </si>
  <si>
    <t>Pmáx Medido (W)</t>
  </si>
  <si>
    <t>Fill Factor Medido (%)</t>
  </si>
  <si>
    <t>Potência (% da original)</t>
  </si>
  <si>
    <t>Fill Factor Original (%)</t>
  </si>
  <si>
    <t>Foi realizado Eletroluminescência?</t>
  </si>
  <si>
    <t>Rachaduras Detectadas?</t>
  </si>
  <si>
    <t>&gt;50% Células Danificadas?</t>
  </si>
  <si>
    <t>M0001</t>
  </si>
  <si>
    <t>Solarex</t>
  </si>
  <si>
    <t>56W</t>
  </si>
  <si>
    <t>Monofacial</t>
  </si>
  <si>
    <t>Não</t>
  </si>
  <si>
    <t>NA</t>
  </si>
  <si>
    <t>Sim</t>
  </si>
  <si>
    <t>M0002</t>
  </si>
  <si>
    <t>📚 INSTRUÇÕES PARA PREENCHIMENTO - CONFORME ARTIGO CIENTÍFICO</t>
  </si>
  <si>
    <t>Artigo: 'Circular solar economy: PV modules decision-making framework for reuse'</t>
  </si>
  <si>
    <t>Journal of Cleaner Production, 2023</t>
  </si>
  <si>
    <t>ESTRUTURA DA PLANILHA (29 colunas):</t>
  </si>
  <si>
    <t>A-I: Informações Gerais (9 colunas)</t>
  </si>
  <si>
    <t>J-N: Inspeção Visual (5 colunas)</t>
  </si>
  <si>
    <t>O-S: Resistência de Isolamento (5 colunas)</t>
  </si>
  <si>
    <t>T-Z: Teste Curva IV (7 colunas)</t>
  </si>
  <si>
    <t>AB-AD: Eletroluminescência (3 colunas)</t>
  </si>
  <si>
    <t>CRITÉRIOS TÉCNICOS DO ARTIGO:</t>
  </si>
  <si>
    <t>1. INSPEÇÃO VISUAL:</t>
  </si>
  <si>
    <t xml:space="preserve">   • Vidro quebrado/rachado: RECICLAGEM IMEDIATA (♻️)</t>
  </si>
  <si>
    <t xml:space="preserve">   • Backsheet/Junction Box/Cabos danificados:</t>
  </si>
  <si>
    <t xml:space="preserve">     - Se REPARÁVEL: MANUTENÇÃO (🔧)</t>
  </si>
  <si>
    <t xml:space="preserve">     - Se NÃO REPARÁVEL: RECICLAGEM (♻️)</t>
  </si>
  <si>
    <t xml:space="preserve">   • Se NÃO HÁ DANOS: Use 'NA' em 'Defeito Reparável?'</t>
  </si>
  <si>
    <t xml:space="preserve">   • Tempo recomendado: 1 minuto por módulo</t>
  </si>
  <si>
    <t>2. RESISTÊNCIA DE ISOLAMENTO (CRITÉRIO DO ARTIGO):</t>
  </si>
  <si>
    <t xml:space="preserve">   • MÍNIMO ACEITÁVEL: 40 MΩ·m²</t>
  </si>
  <si>
    <t xml:space="preserve">   • Fórmula automática: MÍNIMO(R1, R2) × Altura × Largura</t>
  </si>
  <si>
    <t xml:space="preserve">   • Exemplo: Altura=1.105m, Largura=0.610m, R1=138.00, R2=124.00</t>
  </si>
  <si>
    <t xml:space="preserve">     Cálculo: MÍNIMO(138,124) × 1.105 × 0.610 = 124 × 0.67405 = 83.58 MΩ·m²</t>
  </si>
  <si>
    <t xml:space="preserve">   • RESULTADO: Se ≥ 40 MΩ·m² = APROVADO, se &lt; 40 MΩ·m² = RECICLAGEM</t>
  </si>
  <si>
    <t>3. TESTE CURVA IV:</t>
  </si>
  <si>
    <t xml:space="preserve">   • Dois cenários (conforme artigo):</t>
  </si>
  <si>
    <t xml:space="preserve">     A) IDADE CONHECIDA:</t>
  </si>
  <si>
    <t xml:space="preserve">        - Degradação padrão do artigo: 1% por ano</t>
  </si>
  <si>
    <t xml:space="preserve">        - Potência Esperada = 100% - (Anos × 1%)</t>
  </si>
  <si>
    <t xml:space="preserve">        - Exemplo: 22 anos = 78% potência esperada</t>
  </si>
  <si>
    <t xml:space="preserve">        - MÍNIMO ACEITÁVEL = Esperada - 10% → 68% mínimo</t>
  </si>
  <si>
    <t xml:space="preserve">        - CLASSIFICAÇÃO:</t>
  </si>
  <si>
    <t xml:space="preserve">          * Classe A: ≥ Potência Esperada (ex: ≥78%)</t>
  </si>
  <si>
    <t xml:space="preserve">          * Classe B: ≥ Mínimo Aceitável (ex: 68-77%)</t>
  </si>
  <si>
    <t xml:space="preserve">     B) IDADE DESCONHECIDA:</t>
  </si>
  <si>
    <t xml:space="preserve">        - MÍNIMO ACEITÁVEL: 60% da potência original</t>
  </si>
  <si>
    <t xml:space="preserve">          * Classe A: ≥ 90%</t>
  </si>
  <si>
    <t xml:space="preserve">          * Classe B: ≥ 60% e &lt; 90%</t>
  </si>
  <si>
    <t>4. ELETROLUMINESCÊNCIA:</t>
  </si>
  <si>
    <t xml:space="preserve">   • Critérios de rejeição:</t>
  </si>
  <si>
    <t xml:space="preserve">     - Rachaduras detectadas: RECICLAGEM</t>
  </si>
  <si>
    <t xml:space="preserve">     - &gt;50% células danificadas: RECICLAGEM</t>
  </si>
  <si>
    <t xml:space="preserve">   • Teste opcional para validação extra</t>
  </si>
  <si>
    <t>FÓRMULAS AUTOMÁTICAS:</t>
  </si>
  <si>
    <t>1. Resistência Ôhmica Fabricante (Coluna S):</t>
  </si>
  <si>
    <t xml:space="preserve">   =SE(OU(O3&lt;=0; P3&lt;=0; Q3=""; R3=""); ""; ARRED(MÍNIMO(Q3;R3)*O3*P3; 2))</t>
  </si>
  <si>
    <t>2. Potência % Original (Coluna Y):</t>
  </si>
  <si>
    <t xml:space="preserve">   =SE(OU(E3&lt;=0; W3=""); "N/A"; ARRED(W3/E3; 4))</t>
  </si>
  <si>
    <t>3. Fill Factor Original (Coluna Z):</t>
  </si>
  <si>
    <t xml:space="preserve">   =SE(OU(F3&lt;=0; G3&lt;=0; E3=""); "N/A"; ARRED(E3/(F3*G3); 4))</t>
  </si>
  <si>
    <t>EXEMPLO DE CÁLCULO (módulo de 22 anos):</t>
  </si>
  <si>
    <t>• Potência datasheet: 56W, Voc: 20.80V, Isc: 3.60A</t>
  </si>
  <si>
    <t>• Idade: 22 anos (fabricado em 2000)</t>
  </si>
  <si>
    <t>• Potência esperada: 100% - (22 × 1%) = 78%</t>
  </si>
  <si>
    <t>• Mínimo aceitável: 78% - 10% = 68%</t>
  </si>
  <si>
    <t>• Pmáx medido: 40W (71.4% da original)</t>
  </si>
  <si>
    <t>• Resultado: Classe B ⚠️ (acima do mínimo de 68%)</t>
  </si>
  <si>
    <t>INSTRUÇÕES DE PREENCHIMENTO:</t>
  </si>
  <si>
    <t>1. Preencha TODAS as células amarelas (cabeçalho da linha 2)</t>
  </si>
  <si>
    <t>2. Use SOMENTE PONTO (.) para decimais</t>
  </si>
  <si>
    <t>3. Campos com '?': use 'Sim', 'Não' ou 'NA'</t>
  </si>
  <si>
    <t>4. 'NA' significa 'Não Aplica' (usar quando não há danos visuais)</t>
  </si>
  <si>
    <t>5. Deixe em branco se não souber a informação</t>
  </si>
  <si>
    <t>6. As células coloridas são calculadas automaticamente</t>
  </si>
  <si>
    <t>VERIFICAÇÃO DE RESISTÊNCIA (PASSO A PASSO):</t>
  </si>
  <si>
    <t>1. Preencha Altura (O) e Largura (P) com 3 casas decimais</t>
  </si>
  <si>
    <t>2. Preencha R1 (Q) e R2 (R) com 2 casas decimais</t>
  </si>
  <si>
    <t>3. A coluna S calculará automaticamente</t>
  </si>
  <si>
    <t>4. Verifique se o valor em S é ≥ 40 MΩ·m²</t>
  </si>
  <si>
    <t>5. Se for menor que 40, o módulo será reciclado automaticamente</t>
  </si>
  <si>
    <t>APÓS PREENCHER:</t>
  </si>
  <si>
    <t>1. Salve o arquivo Excel</t>
  </si>
  <si>
    <t>2. Acesse http://localhost:5000/upload</t>
  </si>
  <si>
    <t>3. Faça upload do arquivo</t>
  </si>
  <si>
    <t>4. Visualize os resultados com gráficos</t>
  </si>
  <si>
    <t>5. Baixe relatórios em PDF 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</si>
</sst>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4"/>
      <color rgb="FFFF0000"/>
      <name val="Calibri"/>
    </font>
    <font>
      <b/>
      <sz val="11"/>
      <color rgb="FF0000FF"/>
      <name val="Calibri"/>
    </font>
    <font>
      <b/>
      <sz val="11"/>
      <color rgb="FF00AA00"/>
      <name val="Calibri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7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10" fontId="0" fillId="0" borderId="1" xfId="0" applyNumberForma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workbookViewId="0">
      <pane ySplit="2" topLeftCell="V3" activePane="bottomLeft" state="frozen"/>
      <selection pane="bottomLeft" activeCell="AC4" sqref="AC4"/>
    </sheetView>
  </sheetViews>
  <sheetFormatPr defaultRowHeight="15"/>
  <cols>
    <col min="1" max="4" width="20" customWidth="1"/>
    <col min="5" max="5" width="27" customWidth="1"/>
    <col min="6" max="8" width="20" customWidth="1"/>
    <col min="9" max="9" width="21" customWidth="1"/>
    <col min="10" max="10" width="25" customWidth="1"/>
    <col min="11" max="11" width="23" customWidth="1"/>
    <col min="12" max="12" width="26" customWidth="1"/>
    <col min="13" max="13" width="31" customWidth="1"/>
    <col min="14" max="16" width="20" customWidth="1"/>
    <col min="17" max="18" width="31" customWidth="1"/>
    <col min="19" max="19" width="39" customWidth="1"/>
    <col min="20" max="20" width="28" customWidth="1"/>
    <col min="21" max="23" width="20" customWidth="1"/>
    <col min="24" max="24" width="24" customWidth="1"/>
    <col min="25" max="26" width="26" customWidth="1"/>
    <col min="27" max="27" width="36" customWidth="1"/>
    <col min="28" max="28" width="24" customWidth="1"/>
    <col min="29" max="29" width="27" customWidth="1"/>
  </cols>
  <sheetData>
    <row r="1" spans="1:30">
      <c r="A1" s="11" t="s">
        <v>0</v>
      </c>
      <c r="B1" s="16"/>
      <c r="C1" s="16"/>
      <c r="D1" s="16"/>
      <c r="E1" s="16"/>
      <c r="F1" s="16"/>
      <c r="G1" s="16"/>
      <c r="H1" s="16"/>
      <c r="I1" s="16"/>
      <c r="J1" s="12" t="s">
        <v>1</v>
      </c>
      <c r="K1" s="16"/>
      <c r="L1" s="16"/>
      <c r="M1" s="16"/>
      <c r="N1" s="16"/>
      <c r="O1" s="10" t="s">
        <v>2</v>
      </c>
      <c r="P1" s="16"/>
      <c r="Q1" s="16"/>
      <c r="R1" s="16"/>
      <c r="S1" s="16"/>
      <c r="T1" s="13" t="s">
        <v>3</v>
      </c>
      <c r="U1" s="16"/>
      <c r="V1" s="16"/>
      <c r="W1" s="16"/>
      <c r="X1" s="16"/>
      <c r="Y1" s="16"/>
      <c r="Z1" s="16"/>
      <c r="AA1" s="16"/>
      <c r="AB1" s="14" t="s">
        <v>4</v>
      </c>
      <c r="AC1" s="16"/>
      <c r="AD1" s="16"/>
    </row>
    <row r="2" spans="1: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</row>
    <row r="3" spans="1:30">
      <c r="A3" s="3" t="s">
        <v>34</v>
      </c>
      <c r="B3" s="1">
        <v>822</v>
      </c>
      <c r="C3" s="1" t="s">
        <v>35</v>
      </c>
      <c r="D3" s="1" t="s">
        <v>36</v>
      </c>
      <c r="E3" s="4">
        <v>56</v>
      </c>
      <c r="F3" s="4">
        <v>20.8</v>
      </c>
      <c r="G3" s="4">
        <v>3.6</v>
      </c>
      <c r="H3" s="3">
        <v>1998</v>
      </c>
      <c r="I3" s="1" t="s">
        <v>37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39</v>
      </c>
      <c r="O3" s="5">
        <v>1.105</v>
      </c>
      <c r="P3" s="5">
        <v>0.61</v>
      </c>
      <c r="Q3" s="4">
        <v>138</v>
      </c>
      <c r="R3" s="4">
        <v>124</v>
      </c>
      <c r="S3" s="4">
        <f>IF(OR(O3&lt;=0, P3&lt;=0, Q3="", R3=""), "", ROUND(MIN(Q3,R3)*O3*P3, 2))</f>
        <v>83.58</v>
      </c>
      <c r="T3" s="4" t="s">
        <v>40</v>
      </c>
      <c r="U3" s="4">
        <v>19.8</v>
      </c>
      <c r="V3" s="4">
        <v>3.5</v>
      </c>
      <c r="W3" s="6">
        <v>0.14599999999999999</v>
      </c>
      <c r="X3" s="1">
        <v>62.8</v>
      </c>
      <c r="Y3" s="6">
        <v>0.2601</v>
      </c>
      <c r="Z3" s="6">
        <f>IF(OR(F3&lt;=0, G3&lt;=0, E3=""), "N/A", ROUND(E3/(F3*G3), 4))</f>
        <v>0.74790000000000001</v>
      </c>
      <c r="AA3" s="1" t="s">
        <v>40</v>
      </c>
      <c r="AB3" s="1" t="s">
        <v>38</v>
      </c>
      <c r="AC3" s="1" t="s">
        <v>40</v>
      </c>
    </row>
    <row r="4" spans="1:30">
      <c r="A4" s="3" t="s">
        <v>41</v>
      </c>
      <c r="B4" s="1">
        <v>822</v>
      </c>
      <c r="C4" s="15" t="s">
        <v>35</v>
      </c>
      <c r="D4" s="1" t="s">
        <v>36</v>
      </c>
      <c r="E4" s="4">
        <v>56</v>
      </c>
      <c r="F4" s="4">
        <v>20.8</v>
      </c>
      <c r="G4" s="4">
        <v>3.6</v>
      </c>
      <c r="H4" s="3">
        <v>1998</v>
      </c>
      <c r="I4" s="1" t="s">
        <v>37</v>
      </c>
      <c r="J4" s="1" t="s">
        <v>38</v>
      </c>
      <c r="K4" s="1" t="s">
        <v>38</v>
      </c>
      <c r="L4" s="1" t="s">
        <v>38</v>
      </c>
      <c r="M4" s="1" t="s">
        <v>38</v>
      </c>
      <c r="N4" s="1" t="s">
        <v>39</v>
      </c>
      <c r="O4" s="5">
        <v>1.105</v>
      </c>
      <c r="P4" s="5">
        <v>0.61</v>
      </c>
      <c r="Q4" s="4">
        <v>159</v>
      </c>
      <c r="R4" s="4">
        <v>166</v>
      </c>
      <c r="S4" s="4">
        <f>IF(OR(O4&lt;=0, P4&lt;=0, Q4="", R4=""), "", ROUND(MIN(Q4,R4)*O4*P4, 2))</f>
        <v>107.17</v>
      </c>
      <c r="T4" s="4" t="s">
        <v>40</v>
      </c>
      <c r="U4" s="4">
        <v>20</v>
      </c>
      <c r="V4" s="4">
        <v>3.6</v>
      </c>
      <c r="W4" s="6">
        <v>0.14799999999999999</v>
      </c>
      <c r="X4" s="1">
        <v>66</v>
      </c>
      <c r="Y4" s="6">
        <v>0.26429999999999998</v>
      </c>
      <c r="Z4" s="6">
        <f>IF(OR(F4&lt;=0, G4&lt;=0, E4=""), "N/A", ROUND(E4/(F4*G4), 4))</f>
        <v>0.74790000000000001</v>
      </c>
      <c r="AA4" s="1" t="s">
        <v>40</v>
      </c>
      <c r="AB4" s="1" t="s">
        <v>38</v>
      </c>
      <c r="AC4" s="1" t="s">
        <v>38</v>
      </c>
    </row>
  </sheetData>
  <mergeCells count="5">
    <mergeCell ref="O1:S1"/>
    <mergeCell ref="A1:I1"/>
    <mergeCell ref="J1:N1"/>
    <mergeCell ref="T1:AA1"/>
    <mergeCell ref="AB1:AD1"/>
  </mergeCells>
  <dataValidations count="3">
    <dataValidation type="list" allowBlank="1" sqref="J3:J5 K3:K5 L3:L5 M3:M5 N3:N5 T3:T5 AA3:AA5 AB3:AB5 AC3:AC5" xr:uid="{00000000-0002-0000-0000-000000000000}">
      <formula1>"Sim,Não,NA"</formula1>
    </dataValidation>
    <dataValidation type="list" allowBlank="1" sqref="I3:I5" xr:uid="{00000000-0002-0000-0000-000001000000}">
      <formula1>"Bifacial,Monofacial"</formula1>
    </dataValidation>
    <dataValidation type="list" allowBlank="1" sqref="T3:T5" xr:uid="{00000000-0002-0000-0000-000002000000}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7"/>
  <sheetViews>
    <sheetView workbookViewId="0"/>
  </sheetViews>
  <sheetFormatPr defaultRowHeight="15"/>
  <cols>
    <col min="1" max="1" width="120" customWidth="1"/>
  </cols>
  <sheetData>
    <row r="1" spans="1:1">
      <c r="A1" s="7" t="s">
        <v>42</v>
      </c>
    </row>
    <row r="2" spans="1:1">
      <c r="A2" t="s">
        <v>43</v>
      </c>
    </row>
    <row r="3" spans="1:1">
      <c r="A3" t="s">
        <v>44</v>
      </c>
    </row>
    <row r="5" spans="1:1">
      <c r="A5" t="s">
        <v>45</v>
      </c>
    </row>
    <row r="6" spans="1:1">
      <c r="A6" t="s">
        <v>46</v>
      </c>
    </row>
    <row r="7" spans="1:1">
      <c r="A7" t="s">
        <v>47</v>
      </c>
    </row>
    <row r="8" spans="1:1">
      <c r="A8" t="s">
        <v>48</v>
      </c>
    </row>
    <row r="9" spans="1:1">
      <c r="A9" t="s">
        <v>49</v>
      </c>
    </row>
    <row r="10" spans="1:1">
      <c r="A10" t="s">
        <v>50</v>
      </c>
    </row>
    <row r="12" spans="1:1">
      <c r="A12" s="8" t="s">
        <v>51</v>
      </c>
    </row>
    <row r="14" spans="1:1">
      <c r="A14" s="8" t="s">
        <v>52</v>
      </c>
    </row>
    <row r="15" spans="1:1">
      <c r="A15" t="s">
        <v>53</v>
      </c>
    </row>
    <row r="16" spans="1:1">
      <c r="A16" t="s">
        <v>54</v>
      </c>
    </row>
    <row r="17" spans="1:1">
      <c r="A17" t="s">
        <v>55</v>
      </c>
    </row>
    <row r="18" spans="1:1">
      <c r="A18" t="s">
        <v>56</v>
      </c>
    </row>
    <row r="19" spans="1:1">
      <c r="A19" t="s">
        <v>57</v>
      </c>
    </row>
    <row r="20" spans="1:1">
      <c r="A20" t="s">
        <v>58</v>
      </c>
    </row>
    <row r="22" spans="1:1">
      <c r="A22" s="8" t="s">
        <v>59</v>
      </c>
    </row>
    <row r="23" spans="1:1">
      <c r="A23" t="s">
        <v>60</v>
      </c>
    </row>
    <row r="24" spans="1:1">
      <c r="A24" t="s">
        <v>61</v>
      </c>
    </row>
    <row r="25" spans="1:1">
      <c r="A25" t="s">
        <v>62</v>
      </c>
    </row>
    <row r="26" spans="1:1">
      <c r="A26" t="s">
        <v>63</v>
      </c>
    </row>
    <row r="27" spans="1:1">
      <c r="A27" t="s">
        <v>64</v>
      </c>
    </row>
    <row r="29" spans="1:1">
      <c r="A29" s="8" t="s">
        <v>65</v>
      </c>
    </row>
    <row r="30" spans="1:1">
      <c r="A30" t="s">
        <v>66</v>
      </c>
    </row>
    <row r="31" spans="1:1">
      <c r="A31" t="s">
        <v>67</v>
      </c>
    </row>
    <row r="32" spans="1:1">
      <c r="A32" t="s">
        <v>68</v>
      </c>
    </row>
    <row r="33" spans="1:1">
      <c r="A33" t="s">
        <v>69</v>
      </c>
    </row>
    <row r="34" spans="1:1">
      <c r="A34" t="s">
        <v>70</v>
      </c>
    </row>
    <row r="35" spans="1:1">
      <c r="A35" t="s">
        <v>71</v>
      </c>
    </row>
    <row r="36" spans="1:1">
      <c r="A36" t="s">
        <v>72</v>
      </c>
    </row>
    <row r="37" spans="1:1">
      <c r="A37" t="s">
        <v>73</v>
      </c>
    </row>
    <row r="38" spans="1:1">
      <c r="A38" t="s">
        <v>74</v>
      </c>
    </row>
    <row r="39" spans="1:1">
      <c r="A39" t="s">
        <v>75</v>
      </c>
    </row>
    <row r="40" spans="1:1">
      <c r="A40" t="s">
        <v>76</v>
      </c>
    </row>
    <row r="41" spans="1:1">
      <c r="A41" t="s">
        <v>72</v>
      </c>
    </row>
    <row r="42" spans="1:1">
      <c r="A42" t="s">
        <v>77</v>
      </c>
    </row>
    <row r="43" spans="1:1">
      <c r="A43" t="s">
        <v>78</v>
      </c>
    </row>
    <row r="45" spans="1:1">
      <c r="A45" s="8" t="s">
        <v>79</v>
      </c>
    </row>
    <row r="46" spans="1:1">
      <c r="A46" t="s">
        <v>80</v>
      </c>
    </row>
    <row r="47" spans="1:1">
      <c r="A47" t="s">
        <v>81</v>
      </c>
    </row>
    <row r="48" spans="1:1">
      <c r="A48" t="s">
        <v>82</v>
      </c>
    </row>
    <row r="49" spans="1:1">
      <c r="A49" t="s">
        <v>83</v>
      </c>
    </row>
    <row r="51" spans="1:1">
      <c r="A51" s="9" t="s">
        <v>84</v>
      </c>
    </row>
    <row r="52" spans="1:1">
      <c r="A52" t="s">
        <v>85</v>
      </c>
    </row>
    <row r="53" spans="1:1">
      <c r="A53" t="s">
        <v>86</v>
      </c>
    </row>
    <row r="54" spans="1:1">
      <c r="A54" t="s">
        <v>87</v>
      </c>
    </row>
    <row r="55" spans="1:1">
      <c r="A55" t="s">
        <v>88</v>
      </c>
    </row>
    <row r="56" spans="1:1">
      <c r="A56" t="s">
        <v>89</v>
      </c>
    </row>
    <row r="57" spans="1:1">
      <c r="A57" t="s">
        <v>90</v>
      </c>
    </row>
    <row r="59" spans="1:1">
      <c r="A59" s="9" t="s">
        <v>91</v>
      </c>
    </row>
    <row r="60" spans="1:1">
      <c r="A60" t="s">
        <v>92</v>
      </c>
    </row>
    <row r="61" spans="1:1">
      <c r="A61" t="s">
        <v>93</v>
      </c>
    </row>
    <row r="62" spans="1:1">
      <c r="A62" t="s">
        <v>94</v>
      </c>
    </row>
    <row r="63" spans="1:1">
      <c r="A63" t="s">
        <v>95</v>
      </c>
    </row>
    <row r="64" spans="1:1">
      <c r="A64" t="s">
        <v>96</v>
      </c>
    </row>
    <row r="65" spans="1:1">
      <c r="A65" t="s">
        <v>97</v>
      </c>
    </row>
    <row r="67" spans="1:1">
      <c r="A67" t="s">
        <v>98</v>
      </c>
    </row>
    <row r="68" spans="1:1">
      <c r="A68" t="s">
        <v>99</v>
      </c>
    </row>
    <row r="69" spans="1:1">
      <c r="A69" t="s">
        <v>100</v>
      </c>
    </row>
    <row r="70" spans="1:1">
      <c r="A70" t="s">
        <v>101</v>
      </c>
    </row>
    <row r="71" spans="1:1">
      <c r="A71" t="s">
        <v>102</v>
      </c>
    </row>
    <row r="72" spans="1:1">
      <c r="A72" t="s">
        <v>103</v>
      </c>
    </row>
    <row r="73" spans="1:1">
      <c r="A73" t="s">
        <v>104</v>
      </c>
    </row>
    <row r="75" spans="1:1">
      <c r="A75" s="9" t="s">
        <v>105</v>
      </c>
    </row>
    <row r="76" spans="1:1">
      <c r="A76" t="s">
        <v>106</v>
      </c>
    </row>
    <row r="77" spans="1:1">
      <c r="A77" t="s">
        <v>107</v>
      </c>
    </row>
    <row r="78" spans="1:1">
      <c r="A78" t="s">
        <v>108</v>
      </c>
    </row>
    <row r="79" spans="1:1">
      <c r="A79" t="s">
        <v>109</v>
      </c>
    </row>
    <row r="80" spans="1:1">
      <c r="A80" t="s">
        <v>110</v>
      </c>
    </row>
    <row r="82" spans="1:1">
      <c r="A82" t="s">
        <v>111</v>
      </c>
    </row>
    <row r="83" spans="1:1">
      <c r="A83" t="s">
        <v>112</v>
      </c>
    </row>
    <row r="84" spans="1:1">
      <c r="A84" t="s">
        <v>113</v>
      </c>
    </row>
    <row r="85" spans="1:1">
      <c r="A85" t="s">
        <v>114</v>
      </c>
    </row>
    <row r="86" spans="1:1">
      <c r="A86" t="s">
        <v>115</v>
      </c>
    </row>
    <row r="87" spans="1:1">
      <c r="A87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2026-02-07T01:26:36Z</dcterms:created>
  <dcterms:modified xsi:type="dcterms:W3CDTF">2026-02-07T01:31:54Z</dcterms:modified>
  <cp:category/>
  <cp:contentStatus/>
</cp:coreProperties>
</file>